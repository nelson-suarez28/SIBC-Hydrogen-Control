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esktop\univercidad\maestria controles industriales\articulos y ponencias\convertidor pem\"/>
    </mc:Choice>
  </mc:AlternateContent>
  <xr:revisionPtr revIDLastSave="0" documentId="13_ncr:1_{861D2135-04BE-4E39-886C-A5D62EA098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B17" i="1"/>
  <c r="B16" i="1"/>
  <c r="B13" i="1"/>
  <c r="A13" i="1"/>
  <c r="D9" i="1"/>
  <c r="D8" i="1"/>
</calcChain>
</file>

<file path=xl/sharedStrings.xml><?xml version="1.0" encoding="utf-8"?>
<sst xmlns="http://schemas.openxmlformats.org/spreadsheetml/2006/main" count="28" uniqueCount="24">
  <si>
    <t>stacked interleaved buck converter</t>
  </si>
  <si>
    <t>parametro</t>
  </si>
  <si>
    <t>valor</t>
  </si>
  <si>
    <t>unidad</t>
  </si>
  <si>
    <t>Vin</t>
  </si>
  <si>
    <t>V</t>
  </si>
  <si>
    <t>Vout</t>
  </si>
  <si>
    <t>Iout</t>
  </si>
  <si>
    <t>A</t>
  </si>
  <si>
    <t>f</t>
  </si>
  <si>
    <t>hz</t>
  </si>
  <si>
    <t>rizado</t>
  </si>
  <si>
    <t>diferencial_Il</t>
  </si>
  <si>
    <t>%</t>
  </si>
  <si>
    <t>diferencial_vo</t>
  </si>
  <si>
    <t>fase</t>
  </si>
  <si>
    <t>ciclo de trabajo</t>
  </si>
  <si>
    <t>calculo del inductor</t>
  </si>
  <si>
    <t>Ifase</t>
  </si>
  <si>
    <t>L</t>
  </si>
  <si>
    <t>calculo del capacitor</t>
  </si>
  <si>
    <t>C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</si>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</sst>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0.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9" fontId="0" fillId="0" borderId="1" xfId="1" applyFont="1" applyBorder="1"/>
    <xf numFmtId="0" fontId="0" fillId="0" borderId="3" xfId="0" applyBorder="1"/>
    <xf numFmtId="9" fontId="0" fillId="0" borderId="1" xfId="1" applyFont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0" xfId="0" applyNumberFormat="1"/>
    <xf numFmtId="9" fontId="0" fillId="0" borderId="0" xfId="1" applyFont="1"/>
    <xf numFmtId="167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0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2" max="2" width="9.5703125" bestFit="1" customWidth="1"/>
    <col min="3" max="3" width="20.42578125" customWidth="1"/>
  </cols>
  <sheetData>
    <row r="2" spans="1:4" x14ac:dyDescent="0.25">
      <c r="A2" s="1" t="s">
        <v>0</v>
      </c>
      <c r="B2" s="1"/>
      <c r="C2" s="1"/>
    </row>
    <row r="3" spans="1:4" x14ac:dyDescent="0.25">
      <c r="A3" s="2" t="s">
        <v>1</v>
      </c>
      <c r="B3" s="2" t="s">
        <v>2</v>
      </c>
      <c r="C3" s="2" t="s">
        <v>3</v>
      </c>
    </row>
    <row r="4" spans="1:4" x14ac:dyDescent="0.25">
      <c r="A4" s="2" t="s">
        <v>4</v>
      </c>
      <c r="B4" s="2">
        <v>24</v>
      </c>
      <c r="C4" s="2" t="s">
        <v>5</v>
      </c>
    </row>
    <row r="5" spans="1:4" x14ac:dyDescent="0.25">
      <c r="A5" s="2" t="s">
        <v>6</v>
      </c>
      <c r="B5" s="2">
        <v>11.6</v>
      </c>
      <c r="C5" s="2" t="s">
        <v>5</v>
      </c>
    </row>
    <row r="6" spans="1:4" x14ac:dyDescent="0.25">
      <c r="A6" s="2" t="s">
        <v>7</v>
      </c>
      <c r="B6" s="2">
        <v>40</v>
      </c>
      <c r="C6" s="2" t="s">
        <v>8</v>
      </c>
    </row>
    <row r="7" spans="1:4" x14ac:dyDescent="0.25">
      <c r="A7" s="2" t="s">
        <v>9</v>
      </c>
      <c r="B7" s="2">
        <v>10000</v>
      </c>
      <c r="C7" s="2" t="s">
        <v>10</v>
      </c>
      <c r="D7" s="3" t="s">
        <v>11</v>
      </c>
    </row>
    <row r="8" spans="1:4" x14ac:dyDescent="0.25">
      <c r="A8" s="2" t="s">
        <v>12</v>
      </c>
      <c r="B8" s="4">
        <v>0.05</v>
      </c>
      <c r="C8" s="2" t="s">
        <v>13</v>
      </c>
      <c r="D8">
        <f>B16*B8</f>
        <v>1</v>
      </c>
    </row>
    <row r="9" spans="1:4" x14ac:dyDescent="0.25">
      <c r="A9" s="5" t="s">
        <v>14</v>
      </c>
      <c r="B9" s="6">
        <v>0.05</v>
      </c>
      <c r="C9" s="5" t="s">
        <v>13</v>
      </c>
      <c r="D9">
        <f>B5*B9</f>
        <v>0.57999999999999996</v>
      </c>
    </row>
    <row r="10" spans="1:4" x14ac:dyDescent="0.25">
      <c r="A10" s="2" t="s">
        <v>15</v>
      </c>
      <c r="B10" s="2">
        <v>2</v>
      </c>
      <c r="C10" s="2"/>
    </row>
    <row r="12" spans="1:4" x14ac:dyDescent="0.25">
      <c r="A12" s="7" t="s">
        <v>16</v>
      </c>
      <c r="B12" s="8"/>
      <c r="C12" s="9"/>
    </row>
    <row r="13" spans="1:4" x14ac:dyDescent="0.25">
      <c r="A13" s="10">
        <f>B5/B4</f>
        <v>0.48333333333333334</v>
      </c>
      <c r="B13" s="11">
        <f>A13</f>
        <v>0.48333333333333334</v>
      </c>
      <c r="C13" t="s">
        <v>13</v>
      </c>
    </row>
    <row r="15" spans="1:4" x14ac:dyDescent="0.25">
      <c r="A15" s="7" t="s">
        <v>17</v>
      </c>
      <c r="B15" s="8"/>
      <c r="C15" s="9"/>
    </row>
    <row r="16" spans="1:4" x14ac:dyDescent="0.25">
      <c r="A16" t="s">
        <v>18</v>
      </c>
      <c r="B16">
        <f>B6/B10</f>
        <v>20</v>
      </c>
      <c r="C16" t="s">
        <v>8</v>
      </c>
    </row>
    <row r="17" spans="1:3" x14ac:dyDescent="0.25">
      <c r="A17" t="s">
        <v>19</v>
      </c>
      <c r="B17" s="12">
        <f>(B5*(1-A13))/(B10*B7*D8)</f>
        <v>2.9966666666666661E-4</v>
      </c>
      <c r="C17" t="s">
        <v>23</v>
      </c>
    </row>
    <row r="19" spans="1:3" x14ac:dyDescent="0.25">
      <c r="A19" s="1" t="s">
        <v>20</v>
      </c>
      <c r="B19" s="1"/>
      <c r="C19" s="1"/>
    </row>
    <row r="20" spans="1:3" x14ac:dyDescent="0.25">
      <c r="A20" s="2" t="s">
        <v>21</v>
      </c>
      <c r="B20" s="2">
        <f>D8/(8*B7*D9)</f>
        <v>2.1551724137931033E-5</v>
      </c>
      <c r="C20" s="2" t="s">
        <v>22</v>
      </c>
    </row>
  </sheetData>
  <mergeCells count="4">
    <mergeCell ref="A2:C2"/>
    <mergeCell ref="A12:C12"/>
    <mergeCell ref="A15:C15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NELSON MAURICIO SUAREZ MENDOZA</cp:lastModifiedBy>
  <dcterms:created xsi:type="dcterms:W3CDTF">2015-06-05T18:19:34Z</dcterms:created>
  <dcterms:modified xsi:type="dcterms:W3CDTF">2026-04-06T15:42:56Z</dcterms:modified>
</cp:coreProperties>
</file>